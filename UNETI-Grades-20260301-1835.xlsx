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  <sheet sheetId="2" name="GPA" state="visible" r:id="rId5"/>
    <sheet sheetId="3" name="Lookup" state="visible" r:id="rId6"/>
  </sheets>
  <calcPr calcId="171027"/>
</workbook>
</file>

<file path=xl/sharedStrings.xml><?xml version="1.0" encoding="utf-8"?>
<sst xmlns="http://schemas.openxmlformats.org/spreadsheetml/2006/main" count="364" uniqueCount="97">
  <si>
    <t>Year</t>
  </si>
  <si>
    <t>Term</t>
  </si>
  <si>
    <t>STT</t>
  </si>
  <si>
    <t>ClassCode</t>
  </si>
  <si>
    <t>CourseName</t>
  </si>
  <si>
    <t>Credits</t>
  </si>
  <si>
    <t>Total10 (Current)</t>
  </si>
  <si>
    <t>Total4 (Current)</t>
  </si>
  <si>
    <t>Letter</t>
  </si>
  <si>
    <t>Note</t>
  </si>
  <si>
    <t>Pass</t>
  </si>
  <si>
    <t>Total10 (Edit)</t>
  </si>
  <si>
    <t>Total4 (Calc)</t>
  </si>
  <si>
    <t>IncludeInGPA</t>
  </si>
  <si>
    <t>2024-2025</t>
  </si>
  <si>
    <t>1</t>
  </si>
  <si>
    <t>010100043606</t>
  </si>
  <si>
    <t>Vẽ kỹ thuật</t>
  </si>
  <si>
    <t/>
  </si>
  <si>
    <t>010100057911</t>
  </si>
  <si>
    <t>Hóa học</t>
  </si>
  <si>
    <t>010100058538</t>
  </si>
  <si>
    <t>Pháp luật đại cương</t>
  </si>
  <si>
    <t>010100073948</t>
  </si>
  <si>
    <t>Giáo dục thể chất 3</t>
  </si>
  <si>
    <t>010100105305</t>
  </si>
  <si>
    <t>Đại số tuyến tính</t>
  </si>
  <si>
    <t>010100110246</t>
  </si>
  <si>
    <t>Xác suất thống kê</t>
  </si>
  <si>
    <t>010100155204</t>
  </si>
  <si>
    <t>Lý thuyết mạch điện</t>
  </si>
  <si>
    <t>0101000502</t>
  </si>
  <si>
    <t>Điểm test tiếng anh đầu vào TOEIC</t>
  </si>
  <si>
    <t>Điểm trung bình học kỳ hệ 4: 3,53</t>
  </si>
  <si>
    <t>Điểm trung bình tích lũy (hệ 4): 3,53</t>
  </si>
  <si>
    <t>Tổng số tín chỉ tích lũy: 15</t>
  </si>
  <si>
    <t>Xếp loại học lực tích lũy: Giỏi</t>
  </si>
  <si>
    <t>Xử lý học vụ: Học tiếp</t>
  </si>
  <si>
    <t>2</t>
  </si>
  <si>
    <t>010100059115</t>
  </si>
  <si>
    <t>Vật lý</t>
  </si>
  <si>
    <t>010100110303</t>
  </si>
  <si>
    <t>Toán giải tích</t>
  </si>
  <si>
    <t>010100121905</t>
  </si>
  <si>
    <t>Kỹ thuật Vật liệu-khí cụ điện</t>
  </si>
  <si>
    <t>010100153525</t>
  </si>
  <si>
    <t>Triết học Mac - Lênin</t>
  </si>
  <si>
    <t>010100194266</t>
  </si>
  <si>
    <t>Tiếng Anh 1</t>
  </si>
  <si>
    <t>010100195602</t>
  </si>
  <si>
    <t>Kỹ thuật điện tử (tương tự - số)</t>
  </si>
  <si>
    <t>010100215156</t>
  </si>
  <si>
    <t>Kỹ năng nhận thức bản thân</t>
  </si>
  <si>
    <t>Điểm trung bình học kỳ hệ 4: 3,12</t>
  </si>
  <si>
    <t>Điểm trung bình tích lũy (hệ 4): 3,29</t>
  </si>
  <si>
    <t>Tổng số tín chỉ tích lũy: 36</t>
  </si>
  <si>
    <t>2025-2026</t>
  </si>
  <si>
    <t>010100065604</t>
  </si>
  <si>
    <t>Điện tử công suất và ứng dụng</t>
  </si>
  <si>
    <t>010100070602</t>
  </si>
  <si>
    <t>Máy điện</t>
  </si>
  <si>
    <t>010100104905</t>
  </si>
  <si>
    <t>Kỹ thuật lập trình và giao tiếp</t>
  </si>
  <si>
    <t>010100108802</t>
  </si>
  <si>
    <t>Lý thuyết điều khiển tự động</t>
  </si>
  <si>
    <t>010100118604</t>
  </si>
  <si>
    <t>Kỹ thuật vi xử lý</t>
  </si>
  <si>
    <t>010100121804</t>
  </si>
  <si>
    <t>Kỹ thuật đo lường và cảm biến</t>
  </si>
  <si>
    <t>010100194351</t>
  </si>
  <si>
    <t>Tiếng Anh 2</t>
  </si>
  <si>
    <t>Điểm trung bình học kỳ hệ 4: 2,95</t>
  </si>
  <si>
    <t>Điểm trung bình tích lũy (hệ 4): 3,31</t>
  </si>
  <si>
    <t>Tổng số tín chỉ tích lũy: 54</t>
  </si>
  <si>
    <t>Credits(GPA)</t>
  </si>
  <si>
    <t>GPA4 Current</t>
  </si>
  <si>
    <t>GPA10 Current</t>
  </si>
  <si>
    <t>GPA4 Predicted</t>
  </si>
  <si>
    <t>GPA10 Predicted</t>
  </si>
  <si>
    <t>Passed Credits Current</t>
  </si>
  <si>
    <t>Debt Credits Current</t>
  </si>
  <si>
    <t>Passed Credits Predicted</t>
  </si>
  <si>
    <t>Debt Credits Predicted</t>
  </si>
  <si>
    <t>Web GPA10</t>
  </si>
  <si>
    <t>Web GPA4</t>
  </si>
  <si>
    <t>Tổng hợp tích lũy</t>
  </si>
  <si>
    <t>Chỉ số</t>
  </si>
  <si>
    <t>Current</t>
  </si>
  <si>
    <t>Predicted</t>
  </si>
  <si>
    <t>Web</t>
  </si>
  <si>
    <t>Tổng tín chỉ tính GPA</t>
  </si>
  <si>
    <t>GPA hệ 4</t>
  </si>
  <si>
    <t>GPA hệ 10</t>
  </si>
  <si>
    <t>Tổng tín chỉ đạt</t>
  </si>
  <si>
    <t>Số tín chỉ nợ</t>
  </si>
  <si>
    <t>Threshold10</t>
  </si>
  <si>
    <t>Point4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</si>
</sst>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1D4ED8"/>
      </patternFill>
    </fill>
    <fill>
      <patternFill patternType="solid">
        <fgColor rgb="0F766E"/>
      </patternFill>
    </fill>
    <fill>
      <patternFill patternType="solid">
        <fgColor rgb="1E3A8A"/>
      </patternFill>
    </fill>
    <fill>
      <patternFill patternType="solid">
        <fgColor rgb="DBEAFE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2" fontId="0" fillId="0" borderId="2" xfId="0" applyNumberFormat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0" customWidth="1"/>
    <col min="4" max="4" width="39" customWidth="1"/>
    <col min="5" max="5" width="35" customWidth="1"/>
    <col min="6" max="6" width="10" style="1" customWidth="1"/>
    <col min="7" max="7" width="19" style="1" customWidth="1"/>
    <col min="8" max="8" width="18" style="1" customWidth="1"/>
    <col min="9" max="11" width="10" customWidth="1"/>
    <col min="12" max="12" width="16" style="1" customWidth="1"/>
    <col min="13" max="13" width="15" style="1" customWidth="1"/>
    <col min="14" max="14" width="14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</row>
    <row r="2" spans="1:14" s="5" customFormat="1" x14ac:dyDescent="0.25">
      <c r="A2" s="6" t="s">
        <v>14</v>
      </c>
      <c r="B2" s="6" t="s">
        <v>15</v>
      </c>
      <c r="C2" s="6">
        <v>1</v>
      </c>
      <c r="D2" s="6" t="s">
        <v>16</v>
      </c>
      <c r="E2" s="6" t="s">
        <v>17</v>
      </c>
      <c r="F2" s="7">
        <v>2</v>
      </c>
      <c r="G2" s="7">
        <v>10</v>
      </c>
      <c r="H2" s="7" t="s">
        <v>18</v>
      </c>
      <c r="I2" s="6" t="s">
        <v>18</v>
      </c>
      <c r="J2" s="6" t="s">
        <v>18</v>
      </c>
      <c r="K2" s="6" t="b">
        <v>1</v>
      </c>
      <c r="L2" s="7">
        <v>10</v>
      </c>
      <c r="M2" s="7">
        <f>IF(L2="","",LOOKUP(L2,Lookup!$A$2:$A$10,Lookup!$B$2:$B$10))</f>
      </c>
      <c r="N2" s="6">
        <f>AND(F2&gt;0,ISNUMBER(M2))</f>
      </c>
    </row>
    <row r="3" spans="1:14" s="5" customFormat="1" x14ac:dyDescent="0.25">
      <c r="A3" s="6" t="s">
        <v>14</v>
      </c>
      <c r="B3" s="6" t="s">
        <v>15</v>
      </c>
      <c r="C3" s="6">
        <v>2</v>
      </c>
      <c r="D3" s="6" t="s">
        <v>19</v>
      </c>
      <c r="E3" s="6" t="s">
        <v>20</v>
      </c>
      <c r="F3" s="7">
        <v>2</v>
      </c>
      <c r="G3" s="7">
        <v>10</v>
      </c>
      <c r="H3" s="7" t="s">
        <v>18</v>
      </c>
      <c r="I3" s="6" t="s">
        <v>18</v>
      </c>
      <c r="J3" s="6" t="s">
        <v>18</v>
      </c>
      <c r="K3" s="6" t="b">
        <v>1</v>
      </c>
      <c r="L3" s="7">
        <v>10</v>
      </c>
      <c r="M3" s="7">
        <f>IF(L3="","",LOOKUP(L3,Lookup!$A$2:$A$10,Lookup!$B$2:$B$10))</f>
      </c>
      <c r="N3" s="6">
        <f>AND(F3&gt;0,ISNUMBER(M3))</f>
      </c>
    </row>
    <row r="4" spans="1:14" s="5" customFormat="1" x14ac:dyDescent="0.25">
      <c r="A4" s="6" t="s">
        <v>14</v>
      </c>
      <c r="B4" s="6" t="s">
        <v>15</v>
      </c>
      <c r="C4" s="6">
        <v>3</v>
      </c>
      <c r="D4" s="6" t="s">
        <v>21</v>
      </c>
      <c r="E4" s="6" t="s">
        <v>22</v>
      </c>
      <c r="F4" s="7">
        <v>2</v>
      </c>
      <c r="G4" s="7">
        <v>10</v>
      </c>
      <c r="H4" s="7" t="s">
        <v>18</v>
      </c>
      <c r="I4" s="6" t="s">
        <v>18</v>
      </c>
      <c r="J4" s="6" t="s">
        <v>18</v>
      </c>
      <c r="K4" s="6" t="b">
        <v>1</v>
      </c>
      <c r="L4" s="7">
        <v>10</v>
      </c>
      <c r="M4" s="7">
        <f>IF(L4="","",LOOKUP(L4,Lookup!$A$2:$A$10,Lookup!$B$2:$B$10))</f>
      </c>
      <c r="N4" s="6">
        <f>AND(F4&gt;0,ISNUMBER(M4))</f>
      </c>
    </row>
    <row r="5" spans="1:14" s="5" customFormat="1" x14ac:dyDescent="0.25">
      <c r="A5" s="6" t="s">
        <v>14</v>
      </c>
      <c r="B5" s="6" t="s">
        <v>15</v>
      </c>
      <c r="C5" s="6">
        <v>4</v>
      </c>
      <c r="D5" s="6" t="s">
        <v>23</v>
      </c>
      <c r="E5" s="6" t="s">
        <v>24</v>
      </c>
      <c r="F5" s="7">
        <v>1</v>
      </c>
      <c r="G5" s="7">
        <v>10</v>
      </c>
      <c r="H5" s="7" t="s">
        <v>18</v>
      </c>
      <c r="I5" s="6" t="s">
        <v>18</v>
      </c>
      <c r="J5" s="6" t="s">
        <v>18</v>
      </c>
      <c r="K5" s="6" t="b">
        <v>1</v>
      </c>
      <c r="L5" s="7">
        <v>10</v>
      </c>
      <c r="M5" s="7">
        <f>IF(L5="","",LOOKUP(L5,Lookup!$A$2:$A$10,Lookup!$B$2:$B$10))</f>
      </c>
      <c r="N5" s="6">
        <f>AND(F5&gt;0,ISNUMBER(M5))</f>
      </c>
    </row>
    <row r="6" spans="1:14" s="5" customFormat="1" x14ac:dyDescent="0.25">
      <c r="A6" s="6" t="s">
        <v>14</v>
      </c>
      <c r="B6" s="6" t="s">
        <v>15</v>
      </c>
      <c r="C6" s="6">
        <v>5</v>
      </c>
      <c r="D6" s="6" t="s">
        <v>25</v>
      </c>
      <c r="E6" s="6" t="s">
        <v>26</v>
      </c>
      <c r="F6" s="7">
        <v>2</v>
      </c>
      <c r="G6" s="7">
        <v>10</v>
      </c>
      <c r="H6" s="7" t="s">
        <v>18</v>
      </c>
      <c r="I6" s="6" t="s">
        <v>18</v>
      </c>
      <c r="J6" s="6" t="s">
        <v>18</v>
      </c>
      <c r="K6" s="6" t="b">
        <v>1</v>
      </c>
      <c r="L6" s="7">
        <v>10</v>
      </c>
      <c r="M6" s="7">
        <f>IF(L6="","",LOOKUP(L6,Lookup!$A$2:$A$10,Lookup!$B$2:$B$10))</f>
      </c>
      <c r="N6" s="6">
        <f>AND(F6&gt;0,ISNUMBER(M6))</f>
      </c>
    </row>
    <row r="7" spans="1:14" s="5" customFormat="1" x14ac:dyDescent="0.25">
      <c r="A7" s="6" t="s">
        <v>14</v>
      </c>
      <c r="B7" s="6" t="s">
        <v>15</v>
      </c>
      <c r="C7" s="6">
        <v>6</v>
      </c>
      <c r="D7" s="6" t="s">
        <v>27</v>
      </c>
      <c r="E7" s="6" t="s">
        <v>28</v>
      </c>
      <c r="F7" s="7">
        <v>3</v>
      </c>
      <c r="G7" s="7">
        <v>10</v>
      </c>
      <c r="H7" s="7" t="s">
        <v>18</v>
      </c>
      <c r="I7" s="6" t="s">
        <v>18</v>
      </c>
      <c r="J7" s="6" t="s">
        <v>18</v>
      </c>
      <c r="K7" s="6" t="b">
        <v>1</v>
      </c>
      <c r="L7" s="7">
        <v>10</v>
      </c>
      <c r="M7" s="7">
        <f>IF(L7="","",LOOKUP(L7,Lookup!$A$2:$A$10,Lookup!$B$2:$B$10))</f>
      </c>
      <c r="N7" s="6">
        <f>AND(F7&gt;0,ISNUMBER(M7))</f>
      </c>
    </row>
    <row r="8" spans="1:14" s="5" customFormat="1" x14ac:dyDescent="0.25">
      <c r="A8" s="6" t="s">
        <v>14</v>
      </c>
      <c r="B8" s="6" t="s">
        <v>15</v>
      </c>
      <c r="C8" s="6">
        <v>7</v>
      </c>
      <c r="D8" s="6" t="s">
        <v>29</v>
      </c>
      <c r="E8" s="6" t="s">
        <v>30</v>
      </c>
      <c r="F8" s="7">
        <v>4</v>
      </c>
      <c r="G8" s="7">
        <v>10</v>
      </c>
      <c r="H8" s="7" t="s">
        <v>18</v>
      </c>
      <c r="I8" s="6" t="s">
        <v>18</v>
      </c>
      <c r="J8" s="6" t="s">
        <v>18</v>
      </c>
      <c r="K8" s="6" t="b">
        <v>1</v>
      </c>
      <c r="L8" s="7">
        <v>10</v>
      </c>
      <c r="M8" s="7">
        <f>IF(L8="","",LOOKUP(L8,Lookup!$A$2:$A$10,Lookup!$B$2:$B$10))</f>
      </c>
      <c r="N8" s="6">
        <f>AND(F8&gt;0,ISNUMBER(M8))</f>
      </c>
    </row>
    <row r="9" spans="1:14" s="5" customFormat="1" x14ac:dyDescent="0.25">
      <c r="A9" s="6" t="s">
        <v>14</v>
      </c>
      <c r="B9" s="6" t="s">
        <v>15</v>
      </c>
      <c r="C9" s="6">
        <v>8</v>
      </c>
      <c r="D9" s="6" t="s">
        <v>31</v>
      </c>
      <c r="E9" s="6" t="s">
        <v>32</v>
      </c>
      <c r="F9" s="7">
        <v>1</v>
      </c>
      <c r="G9" s="7" t="s">
        <v>18</v>
      </c>
      <c r="H9" s="7" t="s">
        <v>18</v>
      </c>
      <c r="I9" s="6" t="s">
        <v>18</v>
      </c>
      <c r="J9" s="6" t="s">
        <v>18</v>
      </c>
      <c r="K9" s="6" t="b">
        <v>1</v>
      </c>
      <c r="L9" s="7" t="s">
        <v>18</v>
      </c>
      <c r="M9" s="7">
        <f>IF(L9="","",LOOKUP(L9,Lookup!$A$2:$A$10,Lookup!$B$2:$B$10))</f>
      </c>
      <c r="N9" s="6">
        <f>AND(F9&gt;0,ISNUMBER(M9))</f>
      </c>
    </row>
    <row r="10" spans="1:14" s="5" customFormat="1" x14ac:dyDescent="0.25">
      <c r="A10" s="6" t="s">
        <v>14</v>
      </c>
      <c r="B10" s="6" t="s">
        <v>15</v>
      </c>
      <c r="C10" s="6">
        <v>8</v>
      </c>
      <c r="D10" s="6" t="s">
        <v>33</v>
      </c>
      <c r="E10" s="6" t="s">
        <v>18</v>
      </c>
      <c r="F10" s="7" t="s">
        <v>18</v>
      </c>
      <c r="G10" s="7" t="s">
        <v>18</v>
      </c>
      <c r="H10" s="7" t="s">
        <v>18</v>
      </c>
      <c r="I10" s="6" t="s">
        <v>18</v>
      </c>
      <c r="J10" s="6" t="s">
        <v>18</v>
      </c>
      <c r="K10" s="6" t="b">
        <v>1</v>
      </c>
      <c r="L10" s="7" t="s">
        <v>18</v>
      </c>
      <c r="M10" s="7">
        <f>IF(L10="","",LOOKUP(L10,Lookup!$A$2:$A$10,Lookup!$B$2:$B$10))</f>
      </c>
      <c r="N10" s="6">
        <f>AND(F10&gt;0,ISNUMBER(M10))</f>
      </c>
    </row>
    <row r="11" spans="1:14" s="5" customFormat="1" x14ac:dyDescent="0.25">
      <c r="A11" s="6" t="s">
        <v>14</v>
      </c>
      <c r="B11" s="6" t="s">
        <v>15</v>
      </c>
      <c r="C11" s="6">
        <v>8</v>
      </c>
      <c r="D11" s="6" t="s">
        <v>34</v>
      </c>
      <c r="E11" s="6" t="s">
        <v>18</v>
      </c>
      <c r="F11" s="7" t="s">
        <v>18</v>
      </c>
      <c r="G11" s="7" t="s">
        <v>18</v>
      </c>
      <c r="H11" s="7" t="s">
        <v>18</v>
      </c>
      <c r="I11" s="6" t="s">
        <v>18</v>
      </c>
      <c r="J11" s="6" t="s">
        <v>18</v>
      </c>
      <c r="K11" s="6" t="b">
        <v>1</v>
      </c>
      <c r="L11" s="7" t="s">
        <v>18</v>
      </c>
      <c r="M11" s="7">
        <f>IF(L11="","",LOOKUP(L11,Lookup!$A$2:$A$10,Lookup!$B$2:$B$10))</f>
      </c>
      <c r="N11" s="6">
        <f>AND(F11&gt;0,ISNUMBER(M11))</f>
      </c>
    </row>
    <row r="12" spans="1:14" s="5" customFormat="1" x14ac:dyDescent="0.25">
      <c r="A12" s="6" t="s">
        <v>14</v>
      </c>
      <c r="B12" s="6" t="s">
        <v>15</v>
      </c>
      <c r="C12" s="6">
        <v>15</v>
      </c>
      <c r="D12" s="6" t="s">
        <v>35</v>
      </c>
      <c r="E12" s="6" t="s">
        <v>18</v>
      </c>
      <c r="F12" s="7" t="s">
        <v>18</v>
      </c>
      <c r="G12" s="7" t="s">
        <v>18</v>
      </c>
      <c r="H12" s="7" t="s">
        <v>18</v>
      </c>
      <c r="I12" s="6" t="s">
        <v>18</v>
      </c>
      <c r="J12" s="6" t="s">
        <v>18</v>
      </c>
      <c r="K12" s="6" t="b">
        <v>1</v>
      </c>
      <c r="L12" s="7" t="s">
        <v>18</v>
      </c>
      <c r="M12" s="7">
        <f>IF(L12="","",LOOKUP(L12,Lookup!$A$2:$A$10,Lookup!$B$2:$B$10))</f>
      </c>
      <c r="N12" s="6">
        <f>AND(F12&gt;0,ISNUMBER(M12))</f>
      </c>
    </row>
    <row r="13" spans="1:14" s="5" customFormat="1" x14ac:dyDescent="0.25">
      <c r="A13" s="6" t="s">
        <v>14</v>
      </c>
      <c r="B13" s="6" t="s">
        <v>15</v>
      </c>
      <c r="C13" s="6">
        <v>0</v>
      </c>
      <c r="D13" s="6" t="s">
        <v>36</v>
      </c>
      <c r="E13" s="6" t="s">
        <v>18</v>
      </c>
      <c r="F13" s="7" t="s">
        <v>18</v>
      </c>
      <c r="G13" s="7" t="s">
        <v>18</v>
      </c>
      <c r="H13" s="7" t="s">
        <v>18</v>
      </c>
      <c r="I13" s="6" t="s">
        <v>18</v>
      </c>
      <c r="J13" s="6" t="s">
        <v>18</v>
      </c>
      <c r="K13" s="6" t="b">
        <v>1</v>
      </c>
      <c r="L13" s="7" t="s">
        <v>18</v>
      </c>
      <c r="M13" s="7">
        <f>IF(L13="","",LOOKUP(L13,Lookup!$A$2:$A$10,Lookup!$B$2:$B$10))</f>
      </c>
      <c r="N13" s="6">
        <f>AND(F13&gt;0,ISNUMBER(M13))</f>
      </c>
    </row>
    <row r="14" spans="1:14" s="5" customFormat="1" x14ac:dyDescent="0.25">
      <c r="A14" s="6" t="s">
        <v>14</v>
      </c>
      <c r="B14" s="6" t="s">
        <v>15</v>
      </c>
      <c r="C14" s="6" t="s">
        <v>18</v>
      </c>
      <c r="D14" s="6" t="s">
        <v>37</v>
      </c>
      <c r="E14" s="6" t="s">
        <v>18</v>
      </c>
      <c r="F14" s="7" t="s">
        <v>18</v>
      </c>
      <c r="G14" s="7" t="s">
        <v>18</v>
      </c>
      <c r="H14" s="7" t="s">
        <v>18</v>
      </c>
      <c r="I14" s="6" t="s">
        <v>18</v>
      </c>
      <c r="J14" s="6" t="s">
        <v>18</v>
      </c>
      <c r="K14" s="6" t="b">
        <v>1</v>
      </c>
      <c r="L14" s="7" t="s">
        <v>18</v>
      </c>
      <c r="M14" s="7">
        <f>IF(L14="","",LOOKUP(L14,Lookup!$A$2:$A$10,Lookup!$B$2:$B$10))</f>
      </c>
      <c r="N14" s="6">
        <f>AND(F14&gt;0,ISNUMBER(M14))</f>
      </c>
    </row>
    <row r="15" spans="1:14" s="5" customFormat="1" x14ac:dyDescent="0.25">
      <c r="A15" s="6" t="s">
        <v>14</v>
      </c>
      <c r="B15" s="6" t="s">
        <v>38</v>
      </c>
      <c r="C15" s="6">
        <v>9</v>
      </c>
      <c r="D15" s="6" t="s">
        <v>39</v>
      </c>
      <c r="E15" s="6" t="s">
        <v>40</v>
      </c>
      <c r="F15" s="7">
        <v>4</v>
      </c>
      <c r="G15" s="7">
        <v>10</v>
      </c>
      <c r="H15" s="7" t="s">
        <v>18</v>
      </c>
      <c r="I15" s="6" t="s">
        <v>18</v>
      </c>
      <c r="J15" s="6" t="s">
        <v>18</v>
      </c>
      <c r="K15" s="6" t="b">
        <v>1</v>
      </c>
      <c r="L15" s="7">
        <v>10</v>
      </c>
      <c r="M15" s="7">
        <f>IF(L15="","",LOOKUP(L15,Lookup!$A$2:$A$10,Lookup!$B$2:$B$10))</f>
      </c>
      <c r="N15" s="6">
        <f>AND(F15&gt;0,ISNUMBER(M15))</f>
      </c>
    </row>
    <row r="16" spans="1:14" s="5" customFormat="1" x14ac:dyDescent="0.25">
      <c r="A16" s="6" t="s">
        <v>14</v>
      </c>
      <c r="B16" s="6" t="s">
        <v>38</v>
      </c>
      <c r="C16" s="6">
        <v>10</v>
      </c>
      <c r="D16" s="6" t="s">
        <v>41</v>
      </c>
      <c r="E16" s="6" t="s">
        <v>42</v>
      </c>
      <c r="F16" s="7">
        <v>3</v>
      </c>
      <c r="G16" s="7">
        <v>10</v>
      </c>
      <c r="H16" s="7" t="s">
        <v>18</v>
      </c>
      <c r="I16" s="6" t="s">
        <v>18</v>
      </c>
      <c r="J16" s="6" t="s">
        <v>18</v>
      </c>
      <c r="K16" s="6" t="b">
        <v>1</v>
      </c>
      <c r="L16" s="7">
        <v>10</v>
      </c>
      <c r="M16" s="7">
        <f>IF(L16="","",LOOKUP(L16,Lookup!$A$2:$A$10,Lookup!$B$2:$B$10))</f>
      </c>
      <c r="N16" s="6">
        <f>AND(F16&gt;0,ISNUMBER(M16))</f>
      </c>
    </row>
    <row r="17" spans="1:14" s="5" customFormat="1" x14ac:dyDescent="0.25">
      <c r="A17" s="6" t="s">
        <v>14</v>
      </c>
      <c r="B17" s="6" t="s">
        <v>38</v>
      </c>
      <c r="C17" s="6">
        <v>11</v>
      </c>
      <c r="D17" s="6" t="s">
        <v>43</v>
      </c>
      <c r="E17" s="6" t="s">
        <v>44</v>
      </c>
      <c r="F17" s="7">
        <v>3</v>
      </c>
      <c r="G17" s="7">
        <v>10</v>
      </c>
      <c r="H17" s="7" t="s">
        <v>18</v>
      </c>
      <c r="I17" s="6" t="s">
        <v>18</v>
      </c>
      <c r="J17" s="6" t="s">
        <v>18</v>
      </c>
      <c r="K17" s="6" t="b">
        <v>1</v>
      </c>
      <c r="L17" s="7">
        <v>10</v>
      </c>
      <c r="M17" s="7">
        <f>IF(L17="","",LOOKUP(L17,Lookup!$A$2:$A$10,Lookup!$B$2:$B$10))</f>
      </c>
      <c r="N17" s="6">
        <f>AND(F17&gt;0,ISNUMBER(M17))</f>
      </c>
    </row>
    <row r="18" spans="1:14" s="5" customFormat="1" x14ac:dyDescent="0.25">
      <c r="A18" s="6" t="s">
        <v>14</v>
      </c>
      <c r="B18" s="6" t="s">
        <v>38</v>
      </c>
      <c r="C18" s="6">
        <v>12</v>
      </c>
      <c r="D18" s="6" t="s">
        <v>45</v>
      </c>
      <c r="E18" s="6" t="s">
        <v>46</v>
      </c>
      <c r="F18" s="7">
        <v>3</v>
      </c>
      <c r="G18" s="7">
        <v>8</v>
      </c>
      <c r="H18" s="7" t="s">
        <v>18</v>
      </c>
      <c r="I18" s="6" t="s">
        <v>18</v>
      </c>
      <c r="J18" s="6" t="s">
        <v>18</v>
      </c>
      <c r="K18" s="6" t="b">
        <v>1</v>
      </c>
      <c r="L18" s="7">
        <v>8</v>
      </c>
      <c r="M18" s="7">
        <f>IF(L18="","",LOOKUP(L18,Lookup!$A$2:$A$10,Lookup!$B$2:$B$10))</f>
      </c>
      <c r="N18" s="6">
        <f>AND(F18&gt;0,ISNUMBER(M18))</f>
      </c>
    </row>
    <row r="19" spans="1:14" s="5" customFormat="1" x14ac:dyDescent="0.25">
      <c r="A19" s="6" t="s">
        <v>14</v>
      </c>
      <c r="B19" s="6" t="s">
        <v>38</v>
      </c>
      <c r="C19" s="6">
        <v>13</v>
      </c>
      <c r="D19" s="6" t="s">
        <v>47</v>
      </c>
      <c r="E19" s="6" t="s">
        <v>48</v>
      </c>
      <c r="F19" s="7">
        <v>4</v>
      </c>
      <c r="G19" s="7">
        <v>10</v>
      </c>
      <c r="H19" s="7" t="s">
        <v>18</v>
      </c>
      <c r="I19" s="6" t="s">
        <v>18</v>
      </c>
      <c r="J19" s="6" t="s">
        <v>18</v>
      </c>
      <c r="K19" s="6" t="b">
        <v>1</v>
      </c>
      <c r="L19" s="7">
        <v>10</v>
      </c>
      <c r="M19" s="7">
        <f>IF(L19="","",LOOKUP(L19,Lookup!$A$2:$A$10,Lookup!$B$2:$B$10))</f>
      </c>
      <c r="N19" s="6">
        <f>AND(F19&gt;0,ISNUMBER(M19))</f>
      </c>
    </row>
    <row r="20" spans="1:14" s="5" customFormat="1" x14ac:dyDescent="0.25">
      <c r="A20" s="6" t="s">
        <v>14</v>
      </c>
      <c r="B20" s="6" t="s">
        <v>38</v>
      </c>
      <c r="C20" s="6">
        <v>14</v>
      </c>
      <c r="D20" s="6" t="s">
        <v>49</v>
      </c>
      <c r="E20" s="6" t="s">
        <v>50</v>
      </c>
      <c r="F20" s="7">
        <v>3</v>
      </c>
      <c r="G20" s="7">
        <v>10</v>
      </c>
      <c r="H20" s="7" t="s">
        <v>18</v>
      </c>
      <c r="I20" s="6" t="s">
        <v>18</v>
      </c>
      <c r="J20" s="6" t="s">
        <v>18</v>
      </c>
      <c r="K20" s="6" t="b">
        <v>1</v>
      </c>
      <c r="L20" s="7">
        <v>10</v>
      </c>
      <c r="M20" s="7">
        <f>IF(L20="","",LOOKUP(L20,Lookup!$A$2:$A$10,Lookup!$B$2:$B$10))</f>
      </c>
      <c r="N20" s="6">
        <f>AND(F20&gt;0,ISNUMBER(M20))</f>
      </c>
    </row>
    <row r="21" spans="1:14" s="5" customFormat="1" x14ac:dyDescent="0.25">
      <c r="A21" s="6" t="s">
        <v>14</v>
      </c>
      <c r="B21" s="6" t="s">
        <v>38</v>
      </c>
      <c r="C21" s="6">
        <v>15</v>
      </c>
      <c r="D21" s="6" t="s">
        <v>51</v>
      </c>
      <c r="E21" s="6" t="s">
        <v>52</v>
      </c>
      <c r="F21" s="7">
        <v>1</v>
      </c>
      <c r="G21" s="7" t="s">
        <v>18</v>
      </c>
      <c r="H21" s="7" t="s">
        <v>18</v>
      </c>
      <c r="I21" s="6" t="s">
        <v>18</v>
      </c>
      <c r="J21" s="6" t="s">
        <v>18</v>
      </c>
      <c r="K21" s="6" t="b">
        <v>1</v>
      </c>
      <c r="L21" s="7" t="s">
        <v>18</v>
      </c>
      <c r="M21" s="7">
        <f>IF(L21="","",LOOKUP(L21,Lookup!$A$2:$A$10,Lookup!$B$2:$B$10))</f>
      </c>
      <c r="N21" s="6">
        <f>AND(F21&gt;0,ISNUMBER(M21))</f>
      </c>
    </row>
    <row r="22" spans="1:14" s="5" customFormat="1" x14ac:dyDescent="0.25">
      <c r="A22" s="6" t="s">
        <v>14</v>
      </c>
      <c r="B22" s="6" t="s">
        <v>38</v>
      </c>
      <c r="C22" s="6">
        <v>8</v>
      </c>
      <c r="D22" s="6" t="s">
        <v>53</v>
      </c>
      <c r="E22" s="6" t="s">
        <v>18</v>
      </c>
      <c r="F22" s="7" t="s">
        <v>18</v>
      </c>
      <c r="G22" s="7" t="s">
        <v>18</v>
      </c>
      <c r="H22" s="7" t="s">
        <v>18</v>
      </c>
      <c r="I22" s="6" t="s">
        <v>18</v>
      </c>
      <c r="J22" s="6" t="s">
        <v>18</v>
      </c>
      <c r="K22" s="6" t="b">
        <v>1</v>
      </c>
      <c r="L22" s="7" t="s">
        <v>18</v>
      </c>
      <c r="M22" s="7">
        <f>IF(L22="","",LOOKUP(L22,Lookup!$A$2:$A$10,Lookup!$B$2:$B$10))</f>
      </c>
      <c r="N22" s="6">
        <f>AND(F22&gt;0,ISNUMBER(M22))</f>
      </c>
    </row>
    <row r="23" spans="1:14" s="5" customFormat="1" x14ac:dyDescent="0.25">
      <c r="A23" s="6" t="s">
        <v>14</v>
      </c>
      <c r="B23" s="6" t="s">
        <v>38</v>
      </c>
      <c r="C23" s="6">
        <v>8</v>
      </c>
      <c r="D23" s="6" t="s">
        <v>54</v>
      </c>
      <c r="E23" s="6" t="s">
        <v>18</v>
      </c>
      <c r="F23" s="7" t="s">
        <v>18</v>
      </c>
      <c r="G23" s="7" t="s">
        <v>18</v>
      </c>
      <c r="H23" s="7" t="s">
        <v>18</v>
      </c>
      <c r="I23" s="6" t="s">
        <v>18</v>
      </c>
      <c r="J23" s="6" t="s">
        <v>18</v>
      </c>
      <c r="K23" s="6" t="b">
        <v>1</v>
      </c>
      <c r="L23" s="7" t="s">
        <v>18</v>
      </c>
      <c r="M23" s="7">
        <f>IF(L23="","",LOOKUP(L23,Lookup!$A$2:$A$10,Lookup!$B$2:$B$10))</f>
      </c>
      <c r="N23" s="6">
        <f>AND(F23&gt;0,ISNUMBER(M23))</f>
      </c>
    </row>
    <row r="24" spans="1:14" s="5" customFormat="1" x14ac:dyDescent="0.25">
      <c r="A24" s="6" t="s">
        <v>14</v>
      </c>
      <c r="B24" s="6" t="s">
        <v>38</v>
      </c>
      <c r="C24" s="6">
        <v>36</v>
      </c>
      <c r="D24" s="6" t="s">
        <v>55</v>
      </c>
      <c r="E24" s="6" t="s">
        <v>18</v>
      </c>
      <c r="F24" s="7" t="s">
        <v>18</v>
      </c>
      <c r="G24" s="7" t="s">
        <v>18</v>
      </c>
      <c r="H24" s="7" t="s">
        <v>18</v>
      </c>
      <c r="I24" s="6" t="s">
        <v>18</v>
      </c>
      <c r="J24" s="6" t="s">
        <v>18</v>
      </c>
      <c r="K24" s="6" t="b">
        <v>1</v>
      </c>
      <c r="L24" s="7" t="s">
        <v>18</v>
      </c>
      <c r="M24" s="7">
        <f>IF(L24="","",LOOKUP(L24,Lookup!$A$2:$A$10,Lookup!$B$2:$B$10))</f>
      </c>
      <c r="N24" s="6">
        <f>AND(F24&gt;0,ISNUMBER(M24))</f>
      </c>
    </row>
    <row r="25" spans="1:14" s="5" customFormat="1" x14ac:dyDescent="0.25">
      <c r="A25" s="6" t="s">
        <v>14</v>
      </c>
      <c r="B25" s="6" t="s">
        <v>38</v>
      </c>
      <c r="C25" s="6">
        <v>0</v>
      </c>
      <c r="D25" s="6" t="s">
        <v>36</v>
      </c>
      <c r="E25" s="6" t="s">
        <v>18</v>
      </c>
      <c r="F25" s="7" t="s">
        <v>18</v>
      </c>
      <c r="G25" s="7" t="s">
        <v>18</v>
      </c>
      <c r="H25" s="7" t="s">
        <v>18</v>
      </c>
      <c r="I25" s="6" t="s">
        <v>18</v>
      </c>
      <c r="J25" s="6" t="s">
        <v>18</v>
      </c>
      <c r="K25" s="6" t="b">
        <v>1</v>
      </c>
      <c r="L25" s="7" t="s">
        <v>18</v>
      </c>
      <c r="M25" s="7">
        <f>IF(L25="","",LOOKUP(L25,Lookup!$A$2:$A$10,Lookup!$B$2:$B$10))</f>
      </c>
      <c r="N25" s="6">
        <f>AND(F25&gt;0,ISNUMBER(M25))</f>
      </c>
    </row>
    <row r="26" spans="1:14" s="5" customFormat="1" x14ac:dyDescent="0.25">
      <c r="A26" s="6" t="s">
        <v>14</v>
      </c>
      <c r="B26" s="6" t="s">
        <v>38</v>
      </c>
      <c r="C26" s="6" t="s">
        <v>18</v>
      </c>
      <c r="D26" s="6" t="s">
        <v>37</v>
      </c>
      <c r="E26" s="6" t="s">
        <v>18</v>
      </c>
      <c r="F26" s="7" t="s">
        <v>18</v>
      </c>
      <c r="G26" s="7" t="s">
        <v>18</v>
      </c>
      <c r="H26" s="7" t="s">
        <v>18</v>
      </c>
      <c r="I26" s="6" t="s">
        <v>18</v>
      </c>
      <c r="J26" s="6" t="s">
        <v>18</v>
      </c>
      <c r="K26" s="6" t="b">
        <v>1</v>
      </c>
      <c r="L26" s="7" t="s">
        <v>18</v>
      </c>
      <c r="M26" s="7">
        <f>IF(L26="","",LOOKUP(L26,Lookup!$A$2:$A$10,Lookup!$B$2:$B$10))</f>
      </c>
      <c r="N26" s="6">
        <f>AND(F26&gt;0,ISNUMBER(M26))</f>
      </c>
    </row>
    <row r="27" spans="1:14" s="5" customFormat="1" x14ac:dyDescent="0.25">
      <c r="A27" s="6" t="s">
        <v>56</v>
      </c>
      <c r="B27" s="6" t="s">
        <v>15</v>
      </c>
      <c r="C27" s="6">
        <v>16</v>
      </c>
      <c r="D27" s="6" t="s">
        <v>57</v>
      </c>
      <c r="E27" s="6" t="s">
        <v>58</v>
      </c>
      <c r="F27" s="7">
        <v>4</v>
      </c>
      <c r="G27" s="7">
        <v>10</v>
      </c>
      <c r="H27" s="7" t="s">
        <v>18</v>
      </c>
      <c r="I27" s="6" t="s">
        <v>18</v>
      </c>
      <c r="J27" s="6" t="s">
        <v>18</v>
      </c>
      <c r="K27" s="6" t="b">
        <v>1</v>
      </c>
      <c r="L27" s="7">
        <v>10</v>
      </c>
      <c r="M27" s="7">
        <f>IF(L27="","",LOOKUP(L27,Lookup!$A$2:$A$10,Lookup!$B$2:$B$10))</f>
      </c>
      <c r="N27" s="6">
        <f>AND(F27&gt;0,ISNUMBER(M27))</f>
      </c>
    </row>
    <row r="28" spans="1:14" s="5" customFormat="1" x14ac:dyDescent="0.25">
      <c r="A28" s="6" t="s">
        <v>56</v>
      </c>
      <c r="B28" s="6" t="s">
        <v>15</v>
      </c>
      <c r="C28" s="6">
        <v>17</v>
      </c>
      <c r="D28" s="6" t="s">
        <v>59</v>
      </c>
      <c r="E28" s="6" t="s">
        <v>60</v>
      </c>
      <c r="F28" s="7">
        <v>3</v>
      </c>
      <c r="G28" s="7">
        <v>10</v>
      </c>
      <c r="H28" s="7" t="s">
        <v>18</v>
      </c>
      <c r="I28" s="6" t="s">
        <v>18</v>
      </c>
      <c r="J28" s="6" t="s">
        <v>18</v>
      </c>
      <c r="K28" s="6" t="b">
        <v>1</v>
      </c>
      <c r="L28" s="7">
        <v>10</v>
      </c>
      <c r="M28" s="7">
        <f>IF(L28="","",LOOKUP(L28,Lookup!$A$2:$A$10,Lookup!$B$2:$B$10))</f>
      </c>
      <c r="N28" s="6">
        <f>AND(F28&gt;0,ISNUMBER(M28))</f>
      </c>
    </row>
    <row r="29" spans="1:14" s="5" customFormat="1" x14ac:dyDescent="0.25">
      <c r="A29" s="6" t="s">
        <v>56</v>
      </c>
      <c r="B29" s="6" t="s">
        <v>15</v>
      </c>
      <c r="C29" s="6">
        <v>18</v>
      </c>
      <c r="D29" s="6" t="s">
        <v>61</v>
      </c>
      <c r="E29" s="6" t="s">
        <v>62</v>
      </c>
      <c r="F29" s="7">
        <v>2</v>
      </c>
      <c r="G29" s="7">
        <v>10</v>
      </c>
      <c r="H29" s="7" t="s">
        <v>18</v>
      </c>
      <c r="I29" s="6" t="s">
        <v>18</v>
      </c>
      <c r="J29" s="6" t="s">
        <v>18</v>
      </c>
      <c r="K29" s="6" t="b">
        <v>1</v>
      </c>
      <c r="L29" s="7">
        <v>10</v>
      </c>
      <c r="M29" s="7">
        <f>IF(L29="","",LOOKUP(L29,Lookup!$A$2:$A$10,Lookup!$B$2:$B$10))</f>
      </c>
      <c r="N29" s="6">
        <f>AND(F29&gt;0,ISNUMBER(M29))</f>
      </c>
    </row>
    <row r="30" spans="1:14" s="5" customFormat="1" x14ac:dyDescent="0.25">
      <c r="A30" s="6" t="s">
        <v>56</v>
      </c>
      <c r="B30" s="6" t="s">
        <v>15</v>
      </c>
      <c r="C30" s="6">
        <v>19</v>
      </c>
      <c r="D30" s="6" t="s">
        <v>63</v>
      </c>
      <c r="E30" s="6" t="s">
        <v>64</v>
      </c>
      <c r="F30" s="7">
        <v>3</v>
      </c>
      <c r="G30" s="7">
        <v>10</v>
      </c>
      <c r="H30" s="7" t="s">
        <v>18</v>
      </c>
      <c r="I30" s="6" t="s">
        <v>18</v>
      </c>
      <c r="J30" s="6" t="s">
        <v>18</v>
      </c>
      <c r="K30" s="6" t="b">
        <v>1</v>
      </c>
      <c r="L30" s="7">
        <v>10</v>
      </c>
      <c r="M30" s="7">
        <f>IF(L30="","",LOOKUP(L30,Lookup!$A$2:$A$10,Lookup!$B$2:$B$10))</f>
      </c>
      <c r="N30" s="6">
        <f>AND(F30&gt;0,ISNUMBER(M30))</f>
      </c>
    </row>
    <row r="31" spans="1:14" s="5" customFormat="1" x14ac:dyDescent="0.25">
      <c r="A31" s="6" t="s">
        <v>56</v>
      </c>
      <c r="B31" s="6" t="s">
        <v>15</v>
      </c>
      <c r="C31" s="6">
        <v>20</v>
      </c>
      <c r="D31" s="6" t="s">
        <v>65</v>
      </c>
      <c r="E31" s="6" t="s">
        <v>66</v>
      </c>
      <c r="F31" s="7">
        <v>2</v>
      </c>
      <c r="G31" s="7">
        <v>10</v>
      </c>
      <c r="H31" s="7" t="s">
        <v>18</v>
      </c>
      <c r="I31" s="6" t="s">
        <v>18</v>
      </c>
      <c r="J31" s="6" t="s">
        <v>18</v>
      </c>
      <c r="K31" s="6" t="b">
        <v>1</v>
      </c>
      <c r="L31" s="7">
        <v>10</v>
      </c>
      <c r="M31" s="7">
        <f>IF(L31="","",LOOKUP(L31,Lookup!$A$2:$A$10,Lookup!$B$2:$B$10))</f>
      </c>
      <c r="N31" s="6">
        <f>AND(F31&gt;0,ISNUMBER(M31))</f>
      </c>
    </row>
    <row r="32" spans="1:14" s="5" customFormat="1" x14ac:dyDescent="0.25">
      <c r="A32" s="6" t="s">
        <v>56</v>
      </c>
      <c r="B32" s="6" t="s">
        <v>15</v>
      </c>
      <c r="C32" s="6">
        <v>21</v>
      </c>
      <c r="D32" s="6" t="s">
        <v>67</v>
      </c>
      <c r="E32" s="6" t="s">
        <v>68</v>
      </c>
      <c r="F32" s="7">
        <v>3</v>
      </c>
      <c r="G32" s="7">
        <v>10</v>
      </c>
      <c r="H32" s="7" t="s">
        <v>18</v>
      </c>
      <c r="I32" s="6" t="s">
        <v>18</v>
      </c>
      <c r="J32" s="6" t="s">
        <v>18</v>
      </c>
      <c r="K32" s="6" t="b">
        <v>1</v>
      </c>
      <c r="L32" s="7">
        <v>10</v>
      </c>
      <c r="M32" s="7">
        <f>IF(L32="","",LOOKUP(L32,Lookup!$A$2:$A$10,Lookup!$B$2:$B$10))</f>
      </c>
      <c r="N32" s="6">
        <f>AND(F32&gt;0,ISNUMBER(M32))</f>
      </c>
    </row>
    <row r="33" spans="1:14" s="5" customFormat="1" x14ac:dyDescent="0.25">
      <c r="A33" s="6" t="s">
        <v>56</v>
      </c>
      <c r="B33" s="6" t="s">
        <v>15</v>
      </c>
      <c r="C33" s="6">
        <v>22</v>
      </c>
      <c r="D33" s="6" t="s">
        <v>69</v>
      </c>
      <c r="E33" s="6" t="s">
        <v>70</v>
      </c>
      <c r="F33" s="7">
        <v>4</v>
      </c>
      <c r="G33" s="7">
        <v>10</v>
      </c>
      <c r="H33" s="7" t="s">
        <v>18</v>
      </c>
      <c r="I33" s="6" t="s">
        <v>18</v>
      </c>
      <c r="J33" s="6" t="s">
        <v>18</v>
      </c>
      <c r="K33" s="6" t="b">
        <v>1</v>
      </c>
      <c r="L33" s="7">
        <v>10</v>
      </c>
      <c r="M33" s="7">
        <f>IF(L33="","",LOOKUP(L33,Lookup!$A$2:$A$10,Lookup!$B$2:$B$10))</f>
      </c>
      <c r="N33" s="6">
        <f>AND(F33&gt;0,ISNUMBER(M33))</f>
      </c>
    </row>
    <row r="34" spans="1:14" s="5" customFormat="1" x14ac:dyDescent="0.25">
      <c r="A34" s="6" t="s">
        <v>56</v>
      </c>
      <c r="B34" s="6" t="s">
        <v>15</v>
      </c>
      <c r="C34" s="6">
        <v>7</v>
      </c>
      <c r="D34" s="6" t="s">
        <v>71</v>
      </c>
      <c r="E34" s="6" t="s">
        <v>18</v>
      </c>
      <c r="F34" s="7" t="s">
        <v>18</v>
      </c>
      <c r="G34" s="7" t="s">
        <v>18</v>
      </c>
      <c r="H34" s="7" t="s">
        <v>18</v>
      </c>
      <c r="I34" s="6" t="s">
        <v>18</v>
      </c>
      <c r="J34" s="6" t="s">
        <v>18</v>
      </c>
      <c r="K34" s="6" t="b">
        <v>1</v>
      </c>
      <c r="L34" s="7" t="s">
        <v>18</v>
      </c>
      <c r="M34" s="7">
        <f>IF(L34="","",LOOKUP(L34,Lookup!$A$2:$A$10,Lookup!$B$2:$B$10))</f>
      </c>
      <c r="N34" s="6">
        <f>AND(F34&gt;0,ISNUMBER(M34))</f>
      </c>
    </row>
    <row r="35" spans="1:14" s="5" customFormat="1" x14ac:dyDescent="0.25">
      <c r="A35" s="6" t="s">
        <v>56</v>
      </c>
      <c r="B35" s="6" t="s">
        <v>15</v>
      </c>
      <c r="C35" s="6">
        <v>8</v>
      </c>
      <c r="D35" s="6" t="s">
        <v>72</v>
      </c>
      <c r="E35" s="6" t="s">
        <v>18</v>
      </c>
      <c r="F35" s="7" t="s">
        <v>18</v>
      </c>
      <c r="G35" s="7" t="s">
        <v>18</v>
      </c>
      <c r="H35" s="7" t="s">
        <v>18</v>
      </c>
      <c r="I35" s="6" t="s">
        <v>18</v>
      </c>
      <c r="J35" s="6" t="s">
        <v>18</v>
      </c>
      <c r="K35" s="6" t="b">
        <v>1</v>
      </c>
      <c r="L35" s="7" t="s">
        <v>18</v>
      </c>
      <c r="M35" s="7">
        <f>IF(L35="","",LOOKUP(L35,Lookup!$A$2:$A$10,Lookup!$B$2:$B$10))</f>
      </c>
      <c r="N35" s="6">
        <f>AND(F35&gt;0,ISNUMBER(M35))</f>
      </c>
    </row>
    <row r="36" spans="1:14" s="5" customFormat="1" x14ac:dyDescent="0.25">
      <c r="A36" s="6" t="s">
        <v>56</v>
      </c>
      <c r="B36" s="6" t="s">
        <v>15</v>
      </c>
      <c r="C36" s="6">
        <v>57</v>
      </c>
      <c r="D36" s="6" t="s">
        <v>73</v>
      </c>
      <c r="E36" s="6" t="s">
        <v>18</v>
      </c>
      <c r="F36" s="7" t="s">
        <v>18</v>
      </c>
      <c r="G36" s="7" t="s">
        <v>18</v>
      </c>
      <c r="H36" s="7" t="s">
        <v>18</v>
      </c>
      <c r="I36" s="6" t="s">
        <v>18</v>
      </c>
      <c r="J36" s="6" t="s">
        <v>18</v>
      </c>
      <c r="K36" s="6" t="b">
        <v>1</v>
      </c>
      <c r="L36" s="7" t="s">
        <v>18</v>
      </c>
      <c r="M36" s="7">
        <f>IF(L36="","",LOOKUP(L36,Lookup!$A$2:$A$10,Lookup!$B$2:$B$10))</f>
      </c>
      <c r="N36" s="6">
        <f>AND(F36&gt;0,ISNUMBER(M36))</f>
      </c>
    </row>
    <row r="37" spans="1:14" s="5" customFormat="1" x14ac:dyDescent="0.25">
      <c r="A37" s="6" t="s">
        <v>56</v>
      </c>
      <c r="B37" s="6" t="s">
        <v>15</v>
      </c>
      <c r="C37" s="6">
        <v>3</v>
      </c>
      <c r="D37" s="6" t="s">
        <v>36</v>
      </c>
      <c r="E37" s="6" t="s">
        <v>18</v>
      </c>
      <c r="F37" s="7" t="s">
        <v>18</v>
      </c>
      <c r="G37" s="7" t="s">
        <v>18</v>
      </c>
      <c r="H37" s="7" t="s">
        <v>18</v>
      </c>
      <c r="I37" s="6" t="s">
        <v>18</v>
      </c>
      <c r="J37" s="6" t="s">
        <v>18</v>
      </c>
      <c r="K37" s="6" t="b">
        <v>1</v>
      </c>
      <c r="L37" s="7" t="s">
        <v>18</v>
      </c>
      <c r="M37" s="7">
        <f>IF(L37="","",LOOKUP(L37,Lookup!$A$2:$A$10,Lookup!$B$2:$B$10))</f>
      </c>
      <c r="N37" s="6">
        <f>AND(F37&gt;0,ISNUMBER(M37))</f>
      </c>
    </row>
    <row r="38" spans="1:14" s="5" customFormat="1" x14ac:dyDescent="0.25">
      <c r="A38" s="6" t="s">
        <v>56</v>
      </c>
      <c r="B38" s="6" t="s">
        <v>15</v>
      </c>
      <c r="C38" s="6" t="s">
        <v>18</v>
      </c>
      <c r="D38" s="6" t="s">
        <v>37</v>
      </c>
      <c r="E38" s="6" t="s">
        <v>18</v>
      </c>
      <c r="F38" s="7" t="s">
        <v>18</v>
      </c>
      <c r="G38" s="7" t="s">
        <v>18</v>
      </c>
      <c r="H38" s="7" t="s">
        <v>18</v>
      </c>
      <c r="I38" s="6" t="s">
        <v>18</v>
      </c>
      <c r="J38" s="6" t="s">
        <v>18</v>
      </c>
      <c r="K38" s="6" t="b">
        <v>1</v>
      </c>
      <c r="L38" s="7" t="s">
        <v>18</v>
      </c>
      <c r="M38" s="7">
        <f>IF(L38="","",LOOKUP(L38,Lookup!$A$2:$A$10,Lookup!$B$2:$B$10))</f>
      </c>
      <c r="N38" s="6">
        <f>AND(F38&gt;0,ISNUMBER(M38))</f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23" customWidth="1"/>
    <col min="2" max="4" width="19" style="1" customWidth="1"/>
    <col min="5" max="5" width="15" style="1" customWidth="1"/>
    <col min="6" max="6" width="16" style="1" customWidth="1"/>
    <col min="7" max="7" width="17" style="1" customWidth="1"/>
    <col min="8" max="8" width="24" customWidth="1"/>
    <col min="9" max="9" width="22" customWidth="1"/>
    <col min="10" max="10" width="26" customWidth="1"/>
    <col min="11" max="11" width="24" customWidth="1"/>
    <col min="12" max="13" width="11" style="1" customWidth="1"/>
  </cols>
  <sheetData>
    <row r="1" spans="1:13" s="8" customFormat="1" x14ac:dyDescent="0.25">
      <c r="A1" s="9" t="s">
        <v>0</v>
      </c>
      <c r="B1" s="10" t="s">
        <v>1</v>
      </c>
      <c r="C1" s="10" t="s">
        <v>74</v>
      </c>
      <c r="D1" s="10" t="s">
        <v>75</v>
      </c>
      <c r="E1" s="10" t="s">
        <v>76</v>
      </c>
      <c r="F1" s="10" t="s">
        <v>77</v>
      </c>
      <c r="G1" s="10" t="s">
        <v>78</v>
      </c>
      <c r="H1" s="9" t="s">
        <v>79</v>
      </c>
      <c r="I1" s="9" t="s">
        <v>80</v>
      </c>
      <c r="J1" s="9" t="s">
        <v>81</v>
      </c>
      <c r="K1" s="9" t="s">
        <v>82</v>
      </c>
      <c r="L1" s="10" t="s">
        <v>83</v>
      </c>
      <c r="M1" s="10" t="s">
        <v>84</v>
      </c>
    </row>
    <row r="2" spans="1:13" s="11" customFormat="1" x14ac:dyDescent="0.25">
      <c r="A2" s="12" t="s">
        <v>14</v>
      </c>
      <c r="B2" s="13" t="s">
        <v>15</v>
      </c>
      <c r="C2" s="13">
        <f>SUMIFS(Grades!$F$2:$F$38,Grades!$A$2:$A$38,A2,Grades!$B$2:$B$38,B2,Grades!$N$2:$N$38,TRUE)</f>
      </c>
      <c r="D2" s="13">
        <f>IF(C2=0,"",SUMPRODUCT((Grades!$A$2:$A$38=A2)*(Grades!$B$2:$B$38=B2)*(Grades!$N$2:$N$38=TRUE)*(Grades!$F$2:$F$38)*(Grades!$H$2:$H$38))/C2)</f>
      </c>
      <c r="E2" s="13">
        <f>IF(C2=0,"",SUMPRODUCT((Grades!$A$2:$A$38=A2)*(Grades!$B$2:$B$38=B2)*(Grades!$N$2:$N$38=TRUE)*(Grades!$F$2:$F$38)*(Grades!$G$2:$G$38))/C2)</f>
      </c>
      <c r="F2" s="13">
        <f>IF(C2=0,"",SUMPRODUCT((Grades!$A$2:$A$38=A2)*(Grades!$B$2:$B$38=B2)*(Grades!$N$2:$N$38=TRUE)*(Grades!$F$2:$F$38)*(Grades!$M$2:$M$38))/C2)</f>
      </c>
      <c r="G2" s="13">
        <f>IF(C2=0,"",SUMPRODUCT((Grades!$A$2:$A$38=A2)*(Grades!$B$2:$B$38=B2)*(Grades!$N$2:$N$38=TRUE)*(Grades!$F$2:$F$38)*(Grades!$L$2:$L$38))/C2)</f>
      </c>
      <c r="H2" s="12">
        <f>SUMPRODUCT((Grades!$A$2:$A$38=A2)*(Grades!$B$2:$B$38=B2)*(Grades!$F$2:$F$38&gt;0)*(Grades!$K$2:$K$38=TRUE)*(Grades!$F$2:$F$38))</f>
      </c>
      <c r="I2" s="12">
        <f>SUMPRODUCT((Grades!$A$2:$A$38=A2)*(Grades!$B$2:$B$38=B2)*(Grades!$F$2:$F$38&gt;0)*(Grades!$K$2:$K$38=FALSE)*(Grades!$F$2:$F$38))</f>
      </c>
      <c r="J2" s="12">
        <f>SUMPRODUCT((Grades!$A$2:$A$38=A2)*(Grades!$B$2:$B$38=B2)*(Grades!$N$2:$N$38=TRUE)*(Grades!$F$2:$F$38&gt;0)*(Grades!$M$2:$M$38&gt;=1)*(Grades!$F$2:$F$38))</f>
      </c>
      <c r="K2" s="12">
        <f>SUMPRODUCT((Grades!$A$2:$A$38=A2)*(Grades!$B$2:$B$38=B2)*(Grades!$N$2:$N$38=TRUE)*(Grades!$F$2:$F$38&gt;0)*(Grades!$M$2:$M$38&lt;1)*(Grades!$F$2:$F$38))</f>
      </c>
      <c r="L2" s="13" t="s">
        <v>18</v>
      </c>
      <c r="M2" s="13" t="s">
        <v>18</v>
      </c>
    </row>
    <row r="3" spans="1:13" s="11" customFormat="1" x14ac:dyDescent="0.25">
      <c r="A3" s="12" t="s">
        <v>14</v>
      </c>
      <c r="B3" s="13" t="s">
        <v>38</v>
      </c>
      <c r="C3" s="13">
        <f>SUMIFS(Grades!$F$2:$F$38,Grades!$A$2:$A$38,A3,Grades!$B$2:$B$38,B3,Grades!$N$2:$N$38,TRUE)</f>
      </c>
      <c r="D3" s="13">
        <f>IF(C3=0,"",SUMPRODUCT((Grades!$A$2:$A$38=A3)*(Grades!$B$2:$B$38=B3)*(Grades!$N$2:$N$38=TRUE)*(Grades!$F$2:$F$38)*(Grades!$H$2:$H$38))/C3)</f>
      </c>
      <c r="E3" s="13">
        <f>IF(C3=0,"",SUMPRODUCT((Grades!$A$2:$A$38=A3)*(Grades!$B$2:$B$38=B3)*(Grades!$N$2:$N$38=TRUE)*(Grades!$F$2:$F$38)*(Grades!$G$2:$G$38))/C3)</f>
      </c>
      <c r="F3" s="13">
        <f>IF(C3=0,"",SUMPRODUCT((Grades!$A$2:$A$38=A3)*(Grades!$B$2:$B$38=B3)*(Grades!$N$2:$N$38=TRUE)*(Grades!$F$2:$F$38)*(Grades!$M$2:$M$38))/C3)</f>
      </c>
      <c r="G3" s="13">
        <f>IF(C3=0,"",SUMPRODUCT((Grades!$A$2:$A$38=A3)*(Grades!$B$2:$B$38=B3)*(Grades!$N$2:$N$38=TRUE)*(Grades!$F$2:$F$38)*(Grades!$L$2:$L$38))/C3)</f>
      </c>
      <c r="H3" s="12">
        <f>SUMPRODUCT((Grades!$A$2:$A$38=A3)*(Grades!$B$2:$B$38=B3)*(Grades!$F$2:$F$38&gt;0)*(Grades!$K$2:$K$38=TRUE)*(Grades!$F$2:$F$38))</f>
      </c>
      <c r="I3" s="12">
        <f>SUMPRODUCT((Grades!$A$2:$A$38=A3)*(Grades!$B$2:$B$38=B3)*(Grades!$F$2:$F$38&gt;0)*(Grades!$K$2:$K$38=FALSE)*(Grades!$F$2:$F$38))</f>
      </c>
      <c r="J3" s="12">
        <f>SUMPRODUCT((Grades!$A$2:$A$38=A3)*(Grades!$B$2:$B$38=B3)*(Grades!$N$2:$N$38=TRUE)*(Grades!$F$2:$F$38&gt;0)*(Grades!$M$2:$M$38&gt;=1)*(Grades!$F$2:$F$38))</f>
      </c>
      <c r="K3" s="12">
        <f>SUMPRODUCT((Grades!$A$2:$A$38=A3)*(Grades!$B$2:$B$38=B3)*(Grades!$N$2:$N$38=TRUE)*(Grades!$F$2:$F$38&gt;0)*(Grades!$M$2:$M$38&lt;1)*(Grades!$F$2:$F$38))</f>
      </c>
      <c r="L3" s="13" t="s">
        <v>18</v>
      </c>
      <c r="M3" s="13" t="s">
        <v>18</v>
      </c>
    </row>
    <row r="4" spans="1:13" s="11" customFormat="1" x14ac:dyDescent="0.25">
      <c r="A4" s="12" t="s">
        <v>56</v>
      </c>
      <c r="B4" s="13" t="s">
        <v>15</v>
      </c>
      <c r="C4" s="13">
        <f>SUMIFS(Grades!$F$2:$F$38,Grades!$A$2:$A$38,A4,Grades!$B$2:$B$38,B4,Grades!$N$2:$N$38,TRUE)</f>
      </c>
      <c r="D4" s="13">
        <f>IF(C4=0,"",SUMPRODUCT((Grades!$A$2:$A$38=A4)*(Grades!$B$2:$B$38=B4)*(Grades!$N$2:$N$38=TRUE)*(Grades!$F$2:$F$38)*(Grades!$H$2:$H$38))/C4)</f>
      </c>
      <c r="E4" s="13">
        <f>IF(C4=0,"",SUMPRODUCT((Grades!$A$2:$A$38=A4)*(Grades!$B$2:$B$38=B4)*(Grades!$N$2:$N$38=TRUE)*(Grades!$F$2:$F$38)*(Grades!$G$2:$G$38))/C4)</f>
      </c>
      <c r="F4" s="13">
        <f>IF(C4=0,"",SUMPRODUCT((Grades!$A$2:$A$38=A4)*(Grades!$B$2:$B$38=B4)*(Grades!$N$2:$N$38=TRUE)*(Grades!$F$2:$F$38)*(Grades!$M$2:$M$38))/C4)</f>
      </c>
      <c r="G4" s="13">
        <f>IF(C4=0,"",SUMPRODUCT((Grades!$A$2:$A$38=A4)*(Grades!$B$2:$B$38=B4)*(Grades!$N$2:$N$38=TRUE)*(Grades!$F$2:$F$38)*(Grades!$L$2:$L$38))/C4)</f>
      </c>
      <c r="H4" s="12">
        <f>SUMPRODUCT((Grades!$A$2:$A$38=A4)*(Grades!$B$2:$B$38=B4)*(Grades!$F$2:$F$38&gt;0)*(Grades!$K$2:$K$38=TRUE)*(Grades!$F$2:$F$38))</f>
      </c>
      <c r="I4" s="12">
        <f>SUMPRODUCT((Grades!$A$2:$A$38=A4)*(Grades!$B$2:$B$38=B4)*(Grades!$F$2:$F$38&gt;0)*(Grades!$K$2:$K$38=FALSE)*(Grades!$F$2:$F$38))</f>
      </c>
      <c r="J4" s="12">
        <f>SUMPRODUCT((Grades!$A$2:$A$38=A4)*(Grades!$B$2:$B$38=B4)*(Grades!$N$2:$N$38=TRUE)*(Grades!$F$2:$F$38&gt;0)*(Grades!$M$2:$M$38&gt;=1)*(Grades!$F$2:$F$38))</f>
      </c>
      <c r="K4" s="12">
        <f>SUMPRODUCT((Grades!$A$2:$A$38=A4)*(Grades!$B$2:$B$38=B4)*(Grades!$N$2:$N$38=TRUE)*(Grades!$F$2:$F$38&gt;0)*(Grades!$M$2:$M$38&lt;1)*(Grades!$F$2:$F$38))</f>
      </c>
      <c r="L4" s="13" t="s">
        <v>18</v>
      </c>
      <c r="M4" s="13" t="s">
        <v>18</v>
      </c>
    </row>
    <row r="5" spans="1:13" x14ac:dyDescent="0.25">
      <c r="B5" s="1"/>
      <c r="C5" s="1"/>
      <c r="D5" s="1"/>
      <c r="E5" s="1"/>
      <c r="F5" s="1"/>
      <c r="G5" s="1"/>
      <c r="L5" s="1"/>
      <c r="M5" s="1"/>
    </row>
    <row r="6" spans="1:13" x14ac:dyDescent="0.25">
      <c r="A6" s="14" t="s">
        <v>85</v>
      </c>
      <c r="B6" s="14"/>
      <c r="C6" s="14"/>
      <c r="D6" s="14"/>
      <c r="E6" s="1"/>
      <c r="F6" s="1"/>
      <c r="G6" s="1"/>
      <c r="L6" s="1"/>
      <c r="M6" s="1"/>
    </row>
    <row r="7" spans="1:13" s="15" customFormat="1" x14ac:dyDescent="0.25">
      <c r="A7" s="15" t="s">
        <v>86</v>
      </c>
      <c r="B7" s="16" t="s">
        <v>87</v>
      </c>
      <c r="C7" s="16" t="s">
        <v>88</v>
      </c>
      <c r="D7" s="16" t="s">
        <v>89</v>
      </c>
      <c r="E7" s="16"/>
      <c r="F7" s="16"/>
      <c r="G7" s="16"/>
      <c r="H7" s="15"/>
      <c r="I7" s="15"/>
      <c r="J7" s="15"/>
      <c r="K7" s="15"/>
      <c r="L7" s="16"/>
      <c r="M7" s="16"/>
    </row>
    <row r="8" spans="1:13" x14ac:dyDescent="0.25">
      <c r="A8" s="17" t="s">
        <v>90</v>
      </c>
      <c r="B8" s="18">
        <f>SUMIF(Grades!$N$2:$N$38,TRUE,Grades!$F$2:$F$38)</f>
      </c>
      <c r="C8" s="18">
        <f>SUMIF(Grades!$N$2:$N$38,TRUE,Grades!$F$2:$F$38)</f>
      </c>
      <c r="D8" s="1"/>
      <c r="E8" s="1"/>
      <c r="F8" s="1"/>
      <c r="G8" s="1"/>
      <c r="L8" s="1"/>
      <c r="M8" s="1"/>
    </row>
    <row r="9" spans="1:13" x14ac:dyDescent="0.25">
      <c r="A9" s="17" t="s">
        <v>91</v>
      </c>
      <c r="B9" s="18">
        <f>IF(B8=0,"",SUMPRODUCT((Grades!$N$2:$N$38=TRUE)*(Grades!$F$2:$F$38)*(Grades!$H$2:$H$38))/B8)</f>
      </c>
      <c r="C9" s="18">
        <f>IF(C8=0,"",SUMPRODUCT((Grades!$N$2:$N$38=TRUE)*(Grades!$F$2:$F$38)*(Grades!$M$2:$M$38))/C8)</f>
      </c>
      <c r="D9" s="18" t="s">
        <v>18</v>
      </c>
      <c r="E9" s="1"/>
      <c r="F9" s="1"/>
      <c r="G9" s="1"/>
      <c r="L9" s="1"/>
      <c r="M9" s="1"/>
    </row>
    <row r="10" spans="1:13" x14ac:dyDescent="0.25">
      <c r="A10" s="17" t="s">
        <v>92</v>
      </c>
      <c r="B10" s="18">
        <f>IF(B8=0,"",SUMPRODUCT((Grades!$N$2:$N$38=TRUE)*(Grades!$F$2:$F$38)*(Grades!$G$2:$G$38))/B8)</f>
      </c>
      <c r="C10" s="18">
        <f>IF(C8=0,"",SUMPRODUCT((Grades!$N$2:$N$38=TRUE)*(Grades!$F$2:$F$38)*(Grades!$L$2:$L$38))/C8)</f>
      </c>
      <c r="D10" s="18" t="s">
        <v>18</v>
      </c>
      <c r="E10" s="1"/>
      <c r="F10" s="1"/>
      <c r="G10" s="1"/>
      <c r="L10" s="1"/>
      <c r="M10" s="1"/>
    </row>
    <row r="11" spans="1:13" x14ac:dyDescent="0.25">
      <c r="A11" s="17" t="s">
        <v>93</v>
      </c>
      <c r="B11" s="18">
        <f>SUMPRODUCT((Grades!$F$2:$F$38&gt;0)*(Grades!$K$2:$K$38=TRUE)*(Grades!$F$2:$F$38))</f>
      </c>
      <c r="C11" s="18">
        <f>SUMPRODUCT((Grades!$N$2:$N$38=TRUE)*(Grades!$F$2:$F$38&gt;0)*(Grades!$M$2:$M$38&gt;=1)*(Grades!$F$2:$F$38))</f>
      </c>
      <c r="D11" s="1"/>
      <c r="E11" s="1"/>
      <c r="F11" s="1"/>
      <c r="G11" s="1"/>
      <c r="L11" s="1"/>
      <c r="M11" s="1"/>
    </row>
    <row r="12" spans="1:13" x14ac:dyDescent="0.25">
      <c r="A12" s="17" t="s">
        <v>94</v>
      </c>
      <c r="B12" s="18">
        <f>SUMPRODUCT((Grades!$F$2:$F$38&gt;0)*(Grades!$K$2:$K$38=FALSE)*(Grades!$F$2:$F$38))</f>
      </c>
      <c r="C12" s="18">
        <f>SUMPRODUCT((Grades!$N$2:$N$38=TRUE)*(Grades!$F$2:$F$38&gt;0)*(Grades!$M$2:$M$38&lt;1)*(Grades!$F$2:$F$38))</f>
      </c>
      <c r="D12" s="1"/>
      <c r="E12" s="1"/>
      <c r="F12" s="1"/>
      <c r="G12" s="1"/>
      <c r="L12" s="1"/>
      <c r="M12" s="1"/>
    </row>
  </sheetData>
  <mergeCells count="1">
    <mergeCell ref="A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3" customWidth="1"/>
    <col min="2" max="2" width="10" customWidth="1"/>
  </cols>
  <sheetData>
    <row r="1" spans="1:2" s="19" customFormat="1" x14ac:dyDescent="0.25">
      <c r="A1" s="19" t="s">
        <v>95</v>
      </c>
      <c r="B1" s="19" t="s">
        <v>96</v>
      </c>
    </row>
    <row r="2" spans="1:2" x14ac:dyDescent="0.25">
      <c r="A2" s="1">
        <v>0</v>
      </c>
      <c r="B2" s="1">
        <v>0</v>
      </c>
    </row>
    <row r="3" spans="1:2" x14ac:dyDescent="0.25">
      <c r="A3" s="1">
        <v>3</v>
      </c>
      <c r="B3" s="1">
        <v>0.5</v>
      </c>
    </row>
    <row r="4" spans="1:2" x14ac:dyDescent="0.25">
      <c r="A4" s="1">
        <v>4</v>
      </c>
      <c r="B4" s="1">
        <v>1</v>
      </c>
    </row>
    <row r="5" spans="1:2" x14ac:dyDescent="0.25">
      <c r="A5" s="1">
        <v>5</v>
      </c>
      <c r="B5" s="1">
        <v>1.5</v>
      </c>
    </row>
    <row r="6" spans="1:2" x14ac:dyDescent="0.25">
      <c r="A6" s="1">
        <v>5.5</v>
      </c>
      <c r="B6" s="1">
        <v>2</v>
      </c>
    </row>
    <row r="7" spans="1:2" x14ac:dyDescent="0.25">
      <c r="A7" s="1">
        <v>6.5</v>
      </c>
      <c r="B7" s="1">
        <v>2.5</v>
      </c>
    </row>
    <row r="8" spans="1:2" x14ac:dyDescent="0.25">
      <c r="A8" s="1">
        <v>7</v>
      </c>
      <c r="B8" s="1">
        <v>3</v>
      </c>
    </row>
    <row r="9" spans="1:2" x14ac:dyDescent="0.25">
      <c r="A9" s="1">
        <v>8</v>
      </c>
      <c r="B9" s="1">
        <v>3.5</v>
      </c>
    </row>
    <row r="10" spans="1:2" x14ac:dyDescent="0.25">
      <c r="A10" s="1">
        <v>8.5</v>
      </c>
      <c r="B10" s="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GPA</vt:lpstr>
      <vt:lpstr>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UNETI Time Mapper</dc:creator>
  <dc:title/>
  <dc:subject/>
  <dc:description/>
  <cp:keywords/>
  <cp:category/>
  <cp:lastModifiedBy>Unknown</cp:lastModifiedBy>
  <dcterms:created xsi:type="dcterms:W3CDTF">2026-03-01T11:39:05Z</dcterms:created>
  <dcterms:modified xsi:type="dcterms:W3CDTF">2026-03-01T11:39:05Z</dcterms:modified>
</cp:coreProperties>
</file>